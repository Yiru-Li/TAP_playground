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l647/Documents/GitHub/TAP_playground/"/>
    </mc:Choice>
  </mc:AlternateContent>
  <xr:revisionPtr revIDLastSave="0" documentId="13_ncr:1_{BD368A95-01E9-DC49-8705-F4178802CB0D}" xr6:coauthVersionLast="47" xr6:coauthVersionMax="47" xr10:uidLastSave="{00000000-0000-0000-0000-000000000000}"/>
  <bookViews>
    <workbookView xWindow="0" yWindow="500" windowWidth="32000" windowHeight="16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B7" i="1"/>
  <c r="B8" i="1" a="1"/>
  <c r="B8" i="1" s="1"/>
  <c r="C11" i="1"/>
  <c r="B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<sst xmlns="http://schemas.openxmlformats.org/spreadsheetml/2006/main" count="16" uniqueCount="16">
  <si>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Hair_Thickness</t>
  </si>
  <si>
    <t>%MSO</t>
  </si>
  <si>
    <t>Inputs</t>
  </si>
  <si>
    <t>Outputs</t>
  </si>
  <si>
    <t>Additional Intensity Information</t>
  </si>
  <si>
    <t>Brainsight File:</t>
  </si>
  <si>
    <t>HT2MSO_Coefs</t>
  </si>
  <si>
    <t>Current Direction:</t>
  </si>
  <si>
    <t>Hair Thickness (mm):</t>
  </si>
  <si>
    <t>MT (%MSO):</t>
  </si>
  <si>
    <t>TMS intensity (%MSO):</t>
  </si>
  <si>
    <t>Max_E50 (V/m)</t>
  </si>
  <si>
    <r>
      <rPr>
        <b/>
        <u/>
        <sz val="11"/>
        <rFont val="Calibri"/>
        <family val="2"/>
      </rPr>
      <t>Without</t>
    </r>
    <r>
      <rPr>
        <sz val="11"/>
        <rFont val="Calibri"/>
        <family val="2"/>
      </rPr>
      <t xml:space="preserve"> safety limit (% MSO):</t>
    </r>
  </si>
  <si>
    <r>
      <rPr>
        <b/>
        <u/>
        <sz val="11"/>
        <rFont val="Calibri"/>
        <family val="2"/>
      </rPr>
      <t>With</t>
    </r>
    <r>
      <rPr>
        <sz val="11"/>
        <rFont val="Calibri"/>
        <family val="2"/>
      </rPr>
      <t xml:space="preserve"> safety limit (% MSO):</t>
    </r>
  </si>
  <si>
    <t>Group target intensity (% RMT):</t>
  </si>
  <si>
    <t>Individual safety limit (% RMT):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</si>
</sst>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b/>
      <u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2" borderId="0" xfId="0" applyFill="1" applyAlignment="1">
      <alignment horizontal="left"/>
    </xf>
    <xf numFmtId="0" fontId="0" fillId="2" borderId="0" xfId="0" applyFill="1"/>
    <xf numFmtId="0" fontId="0" fillId="3" borderId="0" xfId="0" applyFill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/>
    <xf numFmtId="9" fontId="0" fillId="0" borderId="0" xfId="1" applyFont="1"/>
    <xf numFmtId="0" fontId="1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I16" sqref="I16"/>
    </sheetView>
  </sheetViews>
  <sheetFormatPr baseColWidth="10" defaultColWidth="8.83203125" defaultRowHeight="15" x14ac:dyDescent="0.2"/>
  <cols>
    <col min="1" max="1" width="18.1640625" bestFit="1" customWidth="1"/>
    <col min="2" max="2" width="12.1640625" bestFit="1" customWidth="1"/>
    <col min="3" max="3" width="11.1640625" bestFit="1" customWidth="1"/>
    <col min="5" max="5" width="12.33203125" bestFit="1" customWidth="1"/>
    <col min="6" max="6" width="6" bestFit="1" customWidth="1"/>
    <col min="7" max="7" width="12.5" bestFit="1" customWidth="1"/>
    <col min="9" max="9" width="12.5" bestFit="1" customWidth="1"/>
  </cols>
  <sheetData>
    <row r="1" spans="1:9" x14ac:dyDescent="0.2">
      <c r="A1" s="8" t="s">
        <v>2</v>
      </c>
      <c r="B1" s="8"/>
      <c r="E1" t="s">
        <v>0</v>
      </c>
      <c r="F1" t="s">
        <v>1</v>
      </c>
      <c r="G1" s="1" t="s">
        <v>11</v>
      </c>
      <c r="I1" s="1" t="s">
        <v>6</v>
      </c>
    </row>
    <row r="2" spans="1:9" x14ac:dyDescent="0.2">
      <c r="A2" s="5" t="s">
        <v>8</v>
      </c>
      <c r="B2" s="4">
        <v>0</v>
      </c>
      <c r="E2" s="6"/>
      <c r="F2" s="6"/>
      <c r="G2" s="6"/>
    </row>
    <row r="3" spans="1:9" x14ac:dyDescent="0.2">
      <c r="A3" s="5" t="s">
        <v>9</v>
      </c>
      <c r="B3" s="4">
        <v>0</v>
      </c>
    </row>
    <row r="5" spans="1:9" x14ac:dyDescent="0.2">
      <c r="A5" s="8" t="s">
        <v>3</v>
      </c>
      <c r="B5" s="8"/>
    </row>
    <row r="6" spans="1:9" x14ac:dyDescent="0.2">
      <c r="A6" s="5" t="s">
        <v>10</v>
      </c>
      <c r="B6" s="2">
        <f>C12</f>
        <v>0</v>
      </c>
    </row>
    <row r="7" spans="1:9" x14ac:dyDescent="0.2">
      <c r="A7" s="5" t="s">
        <v>7</v>
      </c>
      <c r="B7" s="3" t="str">
        <f>IF(F2&lt;0,"Reverse","Normal")</f>
        <v>Normal</v>
      </c>
    </row>
    <row r="8" spans="1:9" x14ac:dyDescent="0.2">
      <c r="A8" s="5" t="s">
        <v>5</v>
      </c>
      <c r="B8" s="2" t="str" cm="1">
        <f t="array" ref="B8">"..."&amp;TEXT(INDEX(E2:E100,MATCH(MIN(ABS(E2:E100-B2)),ABS(E2:E100-B2),0)), "#0.00")&amp;"mm.txt"</f>
        <v>...0.00mm.txt</v>
      </c>
    </row>
    <row r="10" spans="1:9" x14ac:dyDescent="0.2">
      <c r="A10" s="8" t="s">
        <v>4</v>
      </c>
      <c r="B10" s="8"/>
      <c r="C10" s="8"/>
    </row>
    <row r="11" spans="1:9" x14ac:dyDescent="0.2">
      <c r="A11" s="1" t="s">
        <v>12</v>
      </c>
      <c r="C11">
        <f>ROUND(I2*B2^2+I3*B2+I4,0)</f>
        <v>0</v>
      </c>
    </row>
    <row r="12" spans="1:9" x14ac:dyDescent="0.2">
      <c r="A12" s="1" t="s">
        <v>13</v>
      </c>
      <c r="C12">
        <f>IF(AND(C11&gt;=(50*C15),C11&gt;(C14*B3)),MAX(ROUND(C14*B3,0), 50*C15), C11)</f>
        <v>0</v>
      </c>
    </row>
    <row r="14" spans="1:9" x14ac:dyDescent="0.2">
      <c r="A14" s="1" t="s">
        <v>15</v>
      </c>
      <c r="C14" s="7">
        <v>1.3</v>
      </c>
    </row>
    <row r="15" spans="1:9" x14ac:dyDescent="0.2">
      <c r="A15" s="1" t="s">
        <v>14</v>
      </c>
      <c r="C15" s="7">
        <v>1.2</v>
      </c>
    </row>
  </sheetData>
  <mergeCells count="3">
    <mergeCell ref="A1:B1"/>
    <mergeCell ref="A5:B5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 Li</cp:lastModifiedBy>
  <dcterms:modified xsi:type="dcterms:W3CDTF">2025-11-17T16:06:01Z</dcterms:modified>
</cp:coreProperties>
</file>